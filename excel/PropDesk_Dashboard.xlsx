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Calendar" sheetId="2" state="visible" r:id="rId4"/>
    <sheet name="🧮 Consistency" sheetId="3" state="visible" r:id="rId5"/>
    <sheet name="💸 Payout His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<sst xmlns="http://schemas.openxmlformats.org/spreadsheetml/2006/main" count="100" uniqueCount="77">
  <si>
    <t xml:space="preserve">⚡ PropDesk  |  MyFundedFutures Dashboard</t>
  </si>
  <si>
    <t xml:space="preserve">Proprietary Futures Trading Analytics</t>
  </si>
  <si>
    <t xml:space="preserve">⚙  ACCOUNT SETTINGS</t>
  </si>
  <si>
    <t xml:space="preserve">📈  LIVE STATS</t>
  </si>
  <si>
    <t xml:space="preserve">Account Size</t>
  </si>
  <si>
    <t xml:space="preserve">Current Balance</t>
  </si>
  <si>
    <t xml:space="preserve">Starting Balance</t>
  </si>
  <si>
    <t xml:space="preserve">Net Profit</t>
  </si>
  <si>
    <t xml:space="preserve">Profit Target</t>
  </si>
  <si>
    <t xml:space="preserve">Largest Win Day</t>
  </si>
  <si>
    <t xml:space="preserve">Max Drawdown</t>
  </si>
  <si>
    <t xml:space="preserve">Trading Days</t>
  </si>
  <si>
    <t xml:space="preserve">Daily DD Limit</t>
  </si>
  <si>
    <t xml:space="preserve">Winning Days</t>
  </si>
  <si>
    <t xml:space="preserve">Required Buffer</t>
  </si>
  <si>
    <t xml:space="preserve">Losing Days</t>
  </si>
  <si>
    <t xml:space="preserve">Min Trading Days</t>
  </si>
  <si>
    <t xml:space="preserve">Total Trades</t>
  </si>
  <si>
    <t xml:space="preserve">Consistency Limit</t>
  </si>
  <si>
    <t xml:space="preserve">50%</t>
  </si>
  <si>
    <t xml:space="preserve">Avg Daily P&amp;L</t>
  </si>
  <si>
    <t xml:space="preserve">💰  PAYOUT STATUS</t>
  </si>
  <si>
    <t xml:space="preserve">Consistency %</t>
  </si>
  <si>
    <t xml:space="preserve">Eligible?</t>
  </si>
  <si>
    <t xml:space="preserve">Remaining Profit</t>
  </si>
  <si>
    <t xml:space="preserve">Max Safe Today</t>
  </si>
  <si>
    <t xml:space="preserve">Buffer</t>
  </si>
  <si>
    <t xml:space="preserve">Buffer Status</t>
  </si>
  <si>
    <t xml:space="preserve">📊  STATISTICS</t>
  </si>
  <si>
    <t xml:space="preserve">📉  DRAWDOWN</t>
  </si>
  <si>
    <t xml:space="preserve">Win Rate</t>
  </si>
  <si>
    <t xml:space="preserve">Profit Factor</t>
  </si>
  <si>
    <t xml:space="preserve">Daily Limit</t>
  </si>
  <si>
    <t xml:space="preserve">Avg Win</t>
  </si>
  <si>
    <t xml:space="preserve">Buffer Needed</t>
  </si>
  <si>
    <t xml:space="preserve">Avg Loss</t>
  </si>
  <si>
    <t xml:space="preserve">Current Buffer</t>
  </si>
  <si>
    <t xml:space="preserve">Largest Win</t>
  </si>
  <si>
    <t xml:space="preserve">Expectancy</t>
  </si>
  <si>
    <t xml:space="preserve">🚦  PAYOUT TRAFFIC LIGHT</t>
  </si>
  <si>
    <t xml:space="preserve">📅 Daily P&amp;L Calendar  –  Just enter your daily profit/loss</t>
  </si>
  <si>
    <t xml:space="preserve">Enter profit as positive (+) and loss as negative (-)  |  Everything updates automatically</t>
  </si>
  <si>
    <t xml:space="preserve">#</t>
  </si>
  <si>
    <t xml:space="preserve">Date</t>
  </si>
  <si>
    <t xml:space="preserve">Day P&amp;L</t>
  </si>
  <si>
    <t xml:space="preserve">Net P&amp;L</t>
  </si>
  <si>
    <t xml:space="preserve">Largest Day</t>
  </si>
  <si>
    <t xml:space="preserve">Notes</t>
  </si>
  <si>
    <t xml:space="preserve">StartBalance</t>
  </si>
  <si>
    <t xml:space="preserve">🧮 Consistency Rule Calculator  –  MyFundedFutures 50% Rule</t>
  </si>
  <si>
    <t xml:space="preserve">📥  YOUR NUMBERS</t>
  </si>
  <si>
    <t xml:space="preserve">📤  CALCULATED RESULTS</t>
  </si>
  <si>
    <t xml:space="preserve">Net Profit (total)</t>
  </si>
  <si>
    <t xml:space="preserve">Largest Winning Day</t>
  </si>
  <si>
    <t xml:space="preserve">Status</t>
  </si>
  <si>
    <t xml:space="preserve">Today's P&amp;L (projected)</t>
  </si>
  <si>
    <t xml:space="preserve">Remaining Profit Needed</t>
  </si>
  <si>
    <t xml:space="preserve">Max Safe Profit Today</t>
  </si>
  <si>
    <t xml:space="preserve">Proj. Consistency</t>
  </si>
  <si>
    <t xml:space="preserve">After Today Status</t>
  </si>
  <si>
    <t xml:space="preserve">📖  EXAMPLE  |  The Exact Scenario from PropDesk Spec</t>
  </si>
  <si>
    <t xml:space="preserve">$526</t>
  </si>
  <si>
    <t xml:space="preserve">Initial Net Profit</t>
  </si>
  <si>
    <t xml:space="preserve">$857</t>
  </si>
  <si>
    <t xml:space="preserve">Consistency</t>
  </si>
  <si>
    <t xml:space="preserve">61.38%  ❌  NOT eligible</t>
  </si>
  <si>
    <t xml:space="preserve">Profit needed</t>
  </si>
  <si>
    <t xml:space="preserve">$195</t>
  </si>
  <si>
    <t xml:space="preserve">After earning $200:</t>
  </si>
  <si>
    <t xml:space="preserve">New Net Profit</t>
  </si>
  <si>
    <t xml:space="preserve">$1,057</t>
  </si>
  <si>
    <t xml:space="preserve">New Consistency</t>
  </si>
  <si>
    <t xml:space="preserve">49.76%  ✅  ELIGIBLE</t>
  </si>
  <si>
    <t xml:space="preserve">💸 Payout History  –  Every cycle stored forever</t>
  </si>
  <si>
    <t xml:space="preserve">Start Date</t>
  </si>
  <si>
    <t xml:space="preserve">End Date</t>
  </si>
  <si>
    <t xml:space="preserve">Amount Paid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</si>
</sst>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\$#,##0.00"/>
    <numFmt numFmtId="167" formatCode="0"/>
    <numFmt numFmtId="168" formatCode="@"/>
    <numFmt numFmtId="169" formatCode="0.00\%"/>
    <numFmt numFmtId="170" formatCode="0.0%"/>
    <numFmt numFmtId="171" formatCode="0.00"/>
    <numFmt numFmtId="172" formatCode="mm/dd/yyyy"/>
    <numFmt numFmtId="173" formatCode="\$#,##0.00;&quot;($&quot;#,##0.00\);\-"/>
    <numFmt numFmtId="174" formatCode="mm/dd/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C9BE8"/>
      <name val="Arial"/>
      <family val="0"/>
      <charset val="1"/>
    </font>
    <font>
      <sz val="10"/>
      <color rgb="FF6272A4"/>
      <name val="Arial"/>
      <family val="0"/>
      <charset val="1"/>
    </font>
    <font>
      <b val="true"/>
      <sz val="11"/>
      <color rgb="FF4C9BE8"/>
      <name val="Arial"/>
      <family val="0"/>
      <charset val="1"/>
    </font>
    <font>
      <b val="true"/>
      <sz val="10"/>
      <color rgb="FFF1FA8C"/>
      <name val="Arial"/>
      <family val="0"/>
      <charset val="1"/>
    </font>
    <font>
      <b val="true"/>
      <sz val="10"/>
      <color rgb="FFF8F8F2"/>
      <name val="Arial"/>
      <family val="0"/>
      <charset val="1"/>
    </font>
    <font>
      <b val="true"/>
      <sz val="13"/>
      <color rgb="FF50FA7B"/>
      <name val="Arial"/>
      <family val="0"/>
      <charset val="1"/>
    </font>
    <font>
      <sz val="9"/>
      <color rgb="FF6272A4"/>
      <name val="Arial"/>
      <family val="0"/>
      <charset val="1"/>
    </font>
    <font>
      <b val="true"/>
      <sz val="14"/>
      <color rgb="FF50FA7B"/>
      <name val="Arial"/>
      <family val="0"/>
      <charset val="1"/>
    </font>
    <font>
      <b val="true"/>
      <sz val="11"/>
      <color rgb="FFFF5555"/>
      <name val="Arial"/>
      <family val="0"/>
      <charset val="1"/>
    </font>
    <font>
      <b val="true"/>
      <sz val="10"/>
      <color rgb="FFFF5555"/>
      <name val="Arial"/>
      <family val="0"/>
      <charset val="1"/>
    </font>
    <font>
      <b val="true"/>
      <sz val="16"/>
      <color rgb="FF50FA7B"/>
      <name val="Arial"/>
      <family val="0"/>
      <charset val="1"/>
    </font>
    <font>
      <b val="true"/>
      <sz val="10"/>
      <color rgb="FF1E1E2E"/>
      <name val="Arial"/>
      <family val="0"/>
      <charset val="1"/>
    </font>
    <font>
      <sz val="10"/>
      <color rgb="FFF1FA8C"/>
      <name val="Arial"/>
      <family val="0"/>
      <charset val="1"/>
    </font>
    <font>
      <b val="true"/>
      <sz val="11"/>
      <color rgb="FFF1FA8C"/>
      <name val="Arial"/>
      <family val="0"/>
      <charset val="1"/>
    </font>
    <font>
      <sz val="10"/>
      <color rgb="FFF8F8F2"/>
      <name val="Arial"/>
      <family val="0"/>
      <charset val="1"/>
    </font>
    <font>
      <sz val="10"/>
      <color rgb="FF50FA7B"/>
      <name val="Arial"/>
      <family val="0"/>
      <charset val="1"/>
    </font>
    <font>
      <b val="true"/>
      <sz val="10"/>
      <color rgb="FF50FA7B"/>
      <name val="Arial"/>
      <family val="0"/>
      <charset val="1"/>
    </font>
    <font>
      <i val="true"/>
      <sz val="9"/>
      <color rgb="FF6272A4"/>
      <name val="Arial"/>
      <family val="0"/>
      <charset val="1"/>
    </font>
    <font>
      <sz val="8"/>
      <color rgb="FF6272A4"/>
      <name val="Arial"/>
      <family val="0"/>
      <charset val="1"/>
    </font>
    <font>
      <sz val="9"/>
      <color rgb="FFF8F8F2"/>
      <name val="Arial"/>
      <family val="0"/>
      <charset val="1"/>
    </font>
    <font>
      <b val="true"/>
      <sz val="14"/>
      <color rgb="FFF1FA8C"/>
      <name val="Arial"/>
      <family val="0"/>
      <charset val="1"/>
    </font>
    <font>
      <b val="true"/>
      <sz val="11"/>
      <color rgb="FF50FA7B"/>
      <name val="Arial"/>
      <family val="0"/>
      <charset val="1"/>
    </font>
    <font>
      <b val="true"/>
      <sz val="12"/>
      <color rgb="FFF1FA8C"/>
      <name val="Arial"/>
      <family val="0"/>
      <charset val="1"/>
    </font>
    <font>
      <b val="true"/>
      <sz val="12"/>
      <color rgb="FF50FA7B"/>
      <name val="Arial"/>
      <family val="0"/>
      <charset val="1"/>
    </font>
    <font>
      <b val="true"/>
      <sz val="12"/>
      <color rgb="FFF8F8F2"/>
      <name val="Arial"/>
      <family val="0"/>
      <charset val="1"/>
    </font>
    <font>
      <b val="true"/>
      <sz val="11"/>
      <color rgb="FF1E1E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2121E"/>
        <bgColor rgb="FF1E1E2E"/>
      </patternFill>
    </fill>
    <fill>
      <patternFill patternType="solid">
        <fgColor rgb="FF1E1E2E"/>
        <bgColor rgb="FF252535"/>
      </patternFill>
    </fill>
    <fill>
      <patternFill patternType="solid">
        <fgColor rgb="FF2A2A3E"/>
        <bgColor rgb="FF252535"/>
      </patternFill>
    </fill>
    <fill>
      <patternFill patternType="solid">
        <fgColor rgb="FF4C9BE8"/>
        <bgColor rgb="FF6272A4"/>
      </patternFill>
    </fill>
    <fill>
      <patternFill patternType="solid">
        <fgColor rgb="FF50FA7B"/>
        <bgColor rgb="FF00FFFF"/>
      </patternFill>
    </fill>
    <fill>
      <patternFill patternType="solid">
        <fgColor rgb="FF252535"/>
        <bgColor rgb="FF2A2A3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8F2"/>
      <rgbColor rgb="FFFF0000"/>
      <rgbColor rgb="FF50FA7B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1FA8C"/>
      <rgbColor rgb="FF99CCFF"/>
      <rgbColor rgb="FFFF99CC"/>
      <rgbColor rgb="FFCC99FF"/>
      <rgbColor rgb="FFFFCC99"/>
      <rgbColor rgb="FF3366FF"/>
      <rgbColor rgb="FF4C9BE8"/>
      <rgbColor rgb="FF99CC00"/>
      <rgbColor rgb="FFFFCC00"/>
      <rgbColor rgb="FFFF9900"/>
      <rgbColor rgb="FFFF5555"/>
      <rgbColor rgb="FF6272A4"/>
      <rgbColor rgb="FF969696"/>
      <rgbColor rgb="FF12121E"/>
      <rgbColor rgb="FF339966"/>
      <rgbColor rgb="FF1E1E2E"/>
      <rgbColor rgb="FF252535"/>
      <rgbColor rgb="FF993300"/>
      <rgbColor rgb="FF993366"/>
      <rgbColor rgb="FF333399"/>
      <rgbColor rgb="FF2A2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9BE8"/>
    <pageSetUpPr fitToPage="false"/>
  </sheetPr>
  <dimension ref="A1:J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6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9.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5" customFormat="false" ht="25.5" hidden="false" customHeight="true" outlineLevel="0" collapsed="false">
      <c r="A5" s="6" t="s">
        <v>2</v>
      </c>
      <c r="B5" s="6"/>
      <c r="C5" s="6"/>
      <c r="D5" s="5"/>
      <c r="E5" s="6" t="s">
        <v>3</v>
      </c>
      <c r="F5" s="6"/>
      <c r="G5" s="5"/>
      <c r="H5" s="5"/>
      <c r="I5" s="5"/>
      <c r="J5" s="5"/>
    </row>
    <row r="6" customFormat="false" ht="21.75" hidden="false" customHeight="true" outlineLevel="0" collapsed="false">
      <c r="A6" s="5"/>
      <c r="B6" s="7" t="s">
        <v>4</v>
      </c>
      <c r="C6" s="8" t="n">
        <v>50000</v>
      </c>
      <c r="D6" s="5"/>
      <c r="E6" s="7" t="s">
        <v>5</v>
      </c>
      <c r="F6" s="9" t="n">
        <f aca="false">'📅 Calendar'!B35</f>
        <v>50000</v>
      </c>
      <c r="G6" s="5"/>
      <c r="H6" s="5"/>
      <c r="I6" s="5"/>
      <c r="J6" s="5"/>
    </row>
    <row r="7" customFormat="false" ht="21.75" hidden="false" customHeight="true" outlineLevel="0" collapsed="false">
      <c r="A7" s="5"/>
      <c r="B7" s="7" t="s">
        <v>6</v>
      </c>
      <c r="C7" s="8" t="n">
        <v>50000</v>
      </c>
      <c r="D7" s="5"/>
      <c r="E7" s="7" t="s">
        <v>7</v>
      </c>
      <c r="F7" s="9" t="n">
        <f aca="false">'📅 Calendar'!B36</f>
        <v>0</v>
      </c>
      <c r="G7" s="5"/>
      <c r="H7" s="5"/>
      <c r="I7" s="5"/>
      <c r="J7" s="5"/>
    </row>
    <row r="8" customFormat="false" ht="21.75" hidden="false" customHeight="true" outlineLevel="0" collapsed="false">
      <c r="A8" s="5"/>
      <c r="B8" s="7" t="s">
        <v>8</v>
      </c>
      <c r="C8" s="8" t="n">
        <v>3000</v>
      </c>
      <c r="D8" s="5"/>
      <c r="E8" s="7" t="s">
        <v>9</v>
      </c>
      <c r="F8" s="9" t="n">
        <f aca="false">'📅 Calendar'!B37</f>
        <v>0</v>
      </c>
      <c r="G8" s="5"/>
      <c r="H8" s="5"/>
      <c r="I8" s="5"/>
      <c r="J8" s="5"/>
    </row>
    <row r="9" customFormat="false" ht="21.75" hidden="false" customHeight="true" outlineLevel="0" collapsed="false">
      <c r="A9" s="5"/>
      <c r="B9" s="7" t="s">
        <v>10</v>
      </c>
      <c r="C9" s="8" t="n">
        <v>2500</v>
      </c>
      <c r="D9" s="5"/>
      <c r="E9" s="7" t="s">
        <v>11</v>
      </c>
      <c r="F9" s="10" t="n">
        <f aca="false">'📅 Calendar'!B38</f>
        <v>0</v>
      </c>
      <c r="G9" s="5"/>
      <c r="H9" s="5"/>
      <c r="I9" s="5"/>
      <c r="J9" s="5"/>
    </row>
    <row r="10" customFormat="false" ht="21.75" hidden="false" customHeight="true" outlineLevel="0" collapsed="false">
      <c r="A10" s="5"/>
      <c r="B10" s="7" t="s">
        <v>12</v>
      </c>
      <c r="C10" s="8" t="n">
        <v>1500</v>
      </c>
      <c r="D10" s="5"/>
      <c r="E10" s="7" t="s">
        <v>13</v>
      </c>
      <c r="F10" s="10" t="n">
        <f aca="false">'📅 Calendar'!B39</f>
        <v>0</v>
      </c>
      <c r="G10" s="5"/>
      <c r="H10" s="5"/>
      <c r="I10" s="5"/>
      <c r="J10" s="5"/>
    </row>
    <row r="11" customFormat="false" ht="21.75" hidden="false" customHeight="true" outlineLevel="0" collapsed="false">
      <c r="A11" s="5"/>
      <c r="B11" s="7" t="s">
        <v>14</v>
      </c>
      <c r="C11" s="8" t="n">
        <v>2500</v>
      </c>
      <c r="D11" s="5"/>
      <c r="E11" s="7" t="s">
        <v>15</v>
      </c>
      <c r="F11" s="10" t="n">
        <f aca="false">'📅 Calendar'!B40</f>
        <v>0</v>
      </c>
      <c r="G11" s="5"/>
      <c r="H11" s="5"/>
      <c r="I11" s="5"/>
      <c r="J11" s="5"/>
    </row>
    <row r="12" customFormat="false" ht="21.75" hidden="false" customHeight="true" outlineLevel="0" collapsed="false">
      <c r="A12" s="5"/>
      <c r="B12" s="7" t="s">
        <v>16</v>
      </c>
      <c r="C12" s="11" t="n">
        <v>8</v>
      </c>
      <c r="D12" s="5"/>
      <c r="E12" s="7" t="s">
        <v>17</v>
      </c>
      <c r="F12" s="10" t="n">
        <v>0</v>
      </c>
      <c r="G12" s="5"/>
      <c r="H12" s="5"/>
      <c r="I12" s="5"/>
      <c r="J12" s="5"/>
    </row>
    <row r="13" customFormat="false" ht="21.75" hidden="false" customHeight="true" outlineLevel="0" collapsed="false">
      <c r="A13" s="5"/>
      <c r="B13" s="7" t="s">
        <v>18</v>
      </c>
      <c r="C13" s="12" t="s">
        <v>19</v>
      </c>
      <c r="D13" s="5"/>
      <c r="E13" s="7" t="s">
        <v>20</v>
      </c>
      <c r="F13" s="9" t="n">
        <f aca="false">'📅 Calendar'!B41</f>
        <v>0</v>
      </c>
      <c r="G13" s="5"/>
      <c r="H13" s="5"/>
      <c r="I13" s="5"/>
      <c r="J13" s="5"/>
    </row>
    <row r="14" customFormat="false" ht="21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30" hidden="false" customHeight="true" outlineLevel="0" collapsed="false">
      <c r="A16" s="13" t="s">
        <v>21</v>
      </c>
      <c r="B16" s="13"/>
      <c r="C16" s="13"/>
      <c r="D16" s="13"/>
      <c r="E16" s="13"/>
      <c r="F16" s="13"/>
      <c r="G16" s="13"/>
      <c r="H16" s="13"/>
      <c r="I16" s="13"/>
      <c r="J16" s="5"/>
    </row>
    <row r="17" customFormat="false" ht="25.5" hidden="false" customHeight="true" outlineLevel="0" collapsed="false">
      <c r="A17" s="5"/>
      <c r="B17" s="14" t="s">
        <v>22</v>
      </c>
      <c r="C17" s="5"/>
      <c r="D17" s="5"/>
      <c r="E17" s="14" t="s">
        <v>23</v>
      </c>
      <c r="F17" s="5"/>
      <c r="G17" s="5"/>
      <c r="H17" s="5"/>
      <c r="I17" s="5"/>
      <c r="J17" s="5"/>
    </row>
    <row r="18" customFormat="false" ht="30" hidden="false" customHeight="true" outlineLevel="0" collapsed="false">
      <c r="A18" s="5"/>
      <c r="B18" s="15"/>
      <c r="C18" s="16" t="n">
        <f aca="false">IF('📅 Calendar'!B37&gt;0,('📅 Calendar'!B37/'📅 Calendar'!B36)*100,100)</f>
        <v>100</v>
      </c>
      <c r="D18" s="5"/>
      <c r="E18" s="15"/>
      <c r="F18" s="17" t="str">
        <f aca="false">IF(B18&lt;50,"✅ YES – REQUEST PAYOUT","❌ NOT YET")</f>
        <v>✅ YES – REQUEST PAYOUT</v>
      </c>
      <c r="G18" s="5"/>
      <c r="H18" s="5"/>
      <c r="I18" s="5"/>
      <c r="J18" s="5"/>
    </row>
    <row r="19" customFormat="false" ht="25.5" hidden="false" customHeight="true" outlineLevel="0" collapsed="false">
      <c r="A19" s="5"/>
      <c r="B19" s="14" t="s">
        <v>24</v>
      </c>
      <c r="C19" s="5"/>
      <c r="D19" s="5"/>
      <c r="E19" s="14" t="s">
        <v>25</v>
      </c>
      <c r="F19" s="5"/>
      <c r="G19" s="5"/>
      <c r="H19" s="5"/>
      <c r="I19" s="5"/>
      <c r="J19" s="5"/>
    </row>
    <row r="20" customFormat="false" ht="30" hidden="false" customHeight="true" outlineLevel="0" collapsed="false">
      <c r="A20" s="5"/>
      <c r="B20" s="15"/>
      <c r="C20" s="18" t="n">
        <f aca="false">MAX(0,('📅 Calendar'!B37/0.5)-'📅 Calendar'!B36)</f>
        <v>0</v>
      </c>
      <c r="D20" s="5"/>
      <c r="E20" s="15"/>
      <c r="F20" s="18" t="n">
        <f aca="false">MAX(0,('📅 Calendar'!B37/0.5)-'📅 Calendar'!B36)</f>
        <v>0</v>
      </c>
      <c r="G20" s="5"/>
      <c r="H20" s="5"/>
      <c r="I20" s="5"/>
      <c r="J20" s="5"/>
    </row>
    <row r="21" customFormat="false" ht="25.5" hidden="false" customHeight="true" outlineLevel="0" collapsed="false">
      <c r="A21" s="5"/>
      <c r="B21" s="14" t="s">
        <v>26</v>
      </c>
      <c r="C21" s="5"/>
      <c r="D21" s="5"/>
      <c r="E21" s="14" t="s">
        <v>27</v>
      </c>
      <c r="F21" s="5"/>
      <c r="G21" s="5"/>
      <c r="H21" s="5"/>
      <c r="I21" s="5"/>
      <c r="J21" s="5"/>
    </row>
    <row r="22" customFormat="false" ht="30" hidden="false" customHeight="true" outlineLevel="0" collapsed="false">
      <c r="A22" s="5"/>
      <c r="B22" s="15"/>
      <c r="C22" s="18" t="n">
        <f aca="false">C7+'📅 Calendar'!B36-C9</f>
        <v>47500</v>
      </c>
      <c r="D22" s="5"/>
      <c r="E22" s="15"/>
      <c r="F22" s="17" t="str">
        <f aca="false">IF(B22&gt;=C11,"✅ BUFFER OK","⚠️ LOW BUFFER")</f>
        <v>⚠️ LOW BUFFER</v>
      </c>
      <c r="G22" s="5"/>
      <c r="H22" s="5"/>
      <c r="I22" s="5"/>
      <c r="J22" s="5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customFormat="false" ht="25.5" hidden="false" customHeight="true" outlineLevel="0" collapsed="false">
      <c r="A24" s="6" t="s">
        <v>28</v>
      </c>
      <c r="B24" s="6"/>
      <c r="C24" s="6"/>
      <c r="D24" s="5"/>
      <c r="E24" s="19" t="s">
        <v>29</v>
      </c>
      <c r="F24" s="19"/>
      <c r="G24" s="5"/>
      <c r="H24" s="5"/>
      <c r="I24" s="5"/>
      <c r="J24" s="5"/>
    </row>
    <row r="25" customFormat="false" ht="21.75" hidden="false" customHeight="true" outlineLevel="0" collapsed="false">
      <c r="A25" s="5"/>
      <c r="B25" s="7" t="s">
        <v>30</v>
      </c>
      <c r="C25" s="20" t="n">
        <f aca="false">'📅 Calendar'!B42</f>
        <v>0</v>
      </c>
      <c r="D25" s="5"/>
      <c r="E25" s="7" t="s">
        <v>10</v>
      </c>
      <c r="F25" s="21" t="n">
        <f aca="false">$C$9</f>
        <v>2500</v>
      </c>
      <c r="G25" s="5"/>
      <c r="H25" s="5"/>
      <c r="I25" s="5"/>
      <c r="J25" s="5"/>
    </row>
    <row r="26" customFormat="false" ht="21.75" hidden="false" customHeight="true" outlineLevel="0" collapsed="false">
      <c r="A26" s="5"/>
      <c r="B26" s="7" t="s">
        <v>31</v>
      </c>
      <c r="C26" s="22" t="n">
        <f aca="false">'📅 Calendar'!B43</f>
        <v>999</v>
      </c>
      <c r="D26" s="5"/>
      <c r="E26" s="7" t="s">
        <v>32</v>
      </c>
      <c r="F26" s="21" t="n">
        <f aca="false">$C$10</f>
        <v>1500</v>
      </c>
      <c r="G26" s="5"/>
      <c r="H26" s="5"/>
      <c r="I26" s="5"/>
      <c r="J26" s="5"/>
    </row>
    <row r="27" customFormat="false" ht="21.75" hidden="false" customHeight="true" outlineLevel="0" collapsed="false">
      <c r="A27" s="5"/>
      <c r="B27" s="7" t="s">
        <v>33</v>
      </c>
      <c r="C27" s="9" t="n">
        <f aca="false">'📅 Calendar'!B44</f>
        <v>0</v>
      </c>
      <c r="D27" s="5"/>
      <c r="E27" s="7" t="s">
        <v>34</v>
      </c>
      <c r="F27" s="21" t="n">
        <f aca="false">$C$11</f>
        <v>2500</v>
      </c>
      <c r="G27" s="5"/>
      <c r="H27" s="5"/>
      <c r="I27" s="5"/>
      <c r="J27" s="5"/>
    </row>
    <row r="28" customFormat="false" ht="21.75" hidden="false" customHeight="true" outlineLevel="0" collapsed="false">
      <c r="A28" s="5"/>
      <c r="B28" s="7" t="s">
        <v>35</v>
      </c>
      <c r="C28" s="9" t="n">
        <f aca="false">'📅 Calendar'!B45</f>
        <v>0</v>
      </c>
      <c r="D28" s="5"/>
      <c r="E28" s="7" t="s">
        <v>36</v>
      </c>
      <c r="F28" s="23" t="n">
        <f aca="false">C7+'📅 Calendar'!B36-C9</f>
        <v>47500</v>
      </c>
      <c r="G28" s="5"/>
      <c r="H28" s="5"/>
      <c r="I28" s="5"/>
      <c r="J28" s="5"/>
    </row>
    <row r="29" customFormat="false" ht="21.75" hidden="false" customHeight="true" outlineLevel="0" collapsed="false">
      <c r="A29" s="5"/>
      <c r="B29" s="7" t="s">
        <v>37</v>
      </c>
      <c r="C29" s="9" t="n">
        <f aca="false">'📅 Calendar'!B37</f>
        <v>0</v>
      </c>
      <c r="D29" s="5"/>
      <c r="E29" s="5"/>
      <c r="F29" s="5"/>
      <c r="G29" s="5"/>
      <c r="H29" s="5"/>
      <c r="I29" s="5"/>
      <c r="J29" s="5"/>
    </row>
    <row r="30" customFormat="false" ht="21.75" hidden="false" customHeight="true" outlineLevel="0" collapsed="false">
      <c r="A30" s="5"/>
      <c r="B30" s="7" t="s">
        <v>38</v>
      </c>
      <c r="C30" s="9" t="n">
        <f aca="false">'📅 Calendar'!B46</f>
        <v>0</v>
      </c>
      <c r="D30" s="5"/>
      <c r="E30" s="5"/>
      <c r="F30" s="5"/>
      <c r="G30" s="5"/>
      <c r="H30" s="5"/>
      <c r="I30" s="5"/>
      <c r="J30" s="5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customFormat="false" ht="25.5" hidden="false" customHeight="true" outlineLevel="0" collapsed="false">
      <c r="A32" s="6" t="s">
        <v>39</v>
      </c>
      <c r="B32" s="6"/>
      <c r="C32" s="6"/>
      <c r="D32" s="6"/>
      <c r="E32" s="6"/>
      <c r="F32" s="6"/>
      <c r="G32" s="6"/>
      <c r="H32" s="6"/>
      <c r="I32" s="6"/>
      <c r="J32" s="5"/>
    </row>
    <row r="33" customFormat="false" ht="39.75" hidden="false" customHeight="true" outlineLevel="0" collapsed="false">
      <c r="A33" s="5"/>
      <c r="B33" s="15"/>
      <c r="C33" s="24" t="str">
        <f aca="false">IF(B18&lt;50,"🟢 GREEN – ELIGIBLE FOR PAYOUT",IF(B18&lt;60,"🟡 YELLOW – ALMOST THERE","🔴 RED – KEEP TRADING"))</f>
        <v>🟢 GREEN – ELIGIBLE FOR PAYOUT</v>
      </c>
      <c r="D33" s="24"/>
      <c r="E33" s="24"/>
      <c r="F33" s="24"/>
      <c r="G33" s="24"/>
      <c r="H33" s="24"/>
      <c r="I33" s="24"/>
      <c r="J33" s="5"/>
    </row>
    <row r="34" customFormat="false" ht="21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21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customFormat="false" ht="21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customFormat="false" ht="21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21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21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21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customFormat="false" ht="21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customFormat="false" ht="21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customFormat="false" ht="21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customFormat="false" ht="21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customFormat="false" ht="21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21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customFormat="false" ht="21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customFormat="false" ht="21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customFormat="false" ht="21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customFormat="false" ht="21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customFormat="false" ht="21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customFormat="false" ht="21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9">
    <mergeCell ref="A2:J2"/>
    <mergeCell ref="A3:J3"/>
    <mergeCell ref="A5:C5"/>
    <mergeCell ref="E5:F5"/>
    <mergeCell ref="A16:I16"/>
    <mergeCell ref="A24:C24"/>
    <mergeCell ref="E24:F24"/>
    <mergeCell ref="A32:I32"/>
    <mergeCell ref="C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FA7B"/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8" min="3" style="1" width="14"/>
    <col collapsed="false" customWidth="true" hidden="false" outlineLevel="0" max="9" min="9" style="1" width="6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5"/>
    </row>
    <row r="2" customFormat="false" ht="33.75" hidden="false" customHeight="true" outlineLevel="0" collapsed="false">
      <c r="A2" s="25" t="s">
        <v>40</v>
      </c>
      <c r="B2" s="25"/>
      <c r="C2" s="25"/>
      <c r="D2" s="25"/>
      <c r="E2" s="25"/>
      <c r="F2" s="25"/>
      <c r="G2" s="25"/>
      <c r="H2" s="25"/>
      <c r="I2" s="25"/>
      <c r="J2" s="5"/>
    </row>
    <row r="3" customFormat="false" ht="15" hidden="false" customHeight="true" outlineLevel="0" collapsed="false">
      <c r="A3" s="26" t="s">
        <v>41</v>
      </c>
      <c r="B3" s="26"/>
      <c r="C3" s="26"/>
      <c r="D3" s="26"/>
      <c r="E3" s="26"/>
      <c r="F3" s="26"/>
      <c r="G3" s="26"/>
      <c r="H3" s="26"/>
      <c r="I3" s="26"/>
      <c r="J3" s="5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5" customFormat="false" ht="24" hidden="false" customHeight="true" outlineLevel="0" collapsed="false">
      <c r="A5" s="5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22</v>
      </c>
      <c r="H5" s="27" t="s">
        <v>23</v>
      </c>
      <c r="I5" s="27" t="s">
        <v>47</v>
      </c>
      <c r="J5" s="5"/>
    </row>
    <row r="6" customFormat="false" ht="21.75" hidden="false" customHeight="true" outlineLevel="0" collapsed="false">
      <c r="A6" s="5"/>
      <c r="B6" s="28" t="n">
        <v>1</v>
      </c>
      <c r="C6" s="29"/>
      <c r="D6" s="30"/>
      <c r="E6" s="31" t="str">
        <f aca="false">IF(D6="","",SUM($D$6:D6))</f>
        <v/>
      </c>
      <c r="F6" s="32" t="str">
        <f aca="false">IF(D6="","",MAX($D$6:D6))</f>
        <v/>
      </c>
      <c r="G6" s="33" t="str">
        <f aca="false">IF(OR(D6="",E6&lt;=0),"",F6/E6*100)</f>
        <v/>
      </c>
      <c r="H6" s="34" t="str">
        <f aca="false">IF(G6="","",IF(G6&lt;50,"✅ YES","❌ NO"))</f>
        <v/>
      </c>
      <c r="I6" s="35"/>
      <c r="J6" s="5"/>
    </row>
    <row r="7" customFormat="false" ht="21.75" hidden="false" customHeight="true" outlineLevel="0" collapsed="false">
      <c r="A7" s="5"/>
      <c r="B7" s="28" t="n">
        <v>2</v>
      </c>
      <c r="C7" s="29"/>
      <c r="D7" s="30"/>
      <c r="E7" s="31" t="str">
        <f aca="false">IF(D7="","",SUM($D$6:D7))</f>
        <v/>
      </c>
      <c r="F7" s="32" t="str">
        <f aca="false">IF(D7="","",MAX($D$6:D7))</f>
        <v/>
      </c>
      <c r="G7" s="33" t="str">
        <f aca="false">IF(OR(D7="",E7&lt;=0),"",F7/E7*100)</f>
        <v/>
      </c>
      <c r="H7" s="34" t="str">
        <f aca="false">IF(G7="","",IF(G7&lt;50,"✅ YES","❌ NO"))</f>
        <v/>
      </c>
      <c r="I7" s="35"/>
      <c r="J7" s="5"/>
    </row>
    <row r="8" customFormat="false" ht="21.75" hidden="false" customHeight="true" outlineLevel="0" collapsed="false">
      <c r="A8" s="5"/>
      <c r="B8" s="28" t="n">
        <v>3</v>
      </c>
      <c r="C8" s="29"/>
      <c r="D8" s="30"/>
      <c r="E8" s="31" t="str">
        <f aca="false">IF(D8="","",SUM($D$6:D8))</f>
        <v/>
      </c>
      <c r="F8" s="32" t="str">
        <f aca="false">IF(D8="","",MAX($D$6:D8))</f>
        <v/>
      </c>
      <c r="G8" s="33" t="str">
        <f aca="false">IF(OR(D8="",E8&lt;=0),"",F8/E8*100)</f>
        <v/>
      </c>
      <c r="H8" s="34" t="str">
        <f aca="false">IF(G8="","",IF(G8&lt;50,"✅ YES","❌ NO"))</f>
        <v/>
      </c>
      <c r="I8" s="35"/>
      <c r="J8" s="5"/>
    </row>
    <row r="9" customFormat="false" ht="21.75" hidden="false" customHeight="true" outlineLevel="0" collapsed="false">
      <c r="A9" s="5"/>
      <c r="B9" s="28" t="n">
        <v>4</v>
      </c>
      <c r="C9" s="29"/>
      <c r="D9" s="30"/>
      <c r="E9" s="31" t="str">
        <f aca="false">IF(D9="","",SUM($D$6:D9))</f>
        <v/>
      </c>
      <c r="F9" s="32" t="str">
        <f aca="false">IF(D9="","",MAX($D$6:D9))</f>
        <v/>
      </c>
      <c r="G9" s="33" t="str">
        <f aca="false">IF(OR(D9="",E9&lt;=0),"",F9/E9*100)</f>
        <v/>
      </c>
      <c r="H9" s="34" t="str">
        <f aca="false">IF(G9="","",IF(G9&lt;50,"✅ YES","❌ NO"))</f>
        <v/>
      </c>
      <c r="I9" s="35"/>
      <c r="J9" s="5"/>
    </row>
    <row r="10" customFormat="false" ht="21.75" hidden="false" customHeight="true" outlineLevel="0" collapsed="false">
      <c r="A10" s="5"/>
      <c r="B10" s="28" t="n">
        <v>5</v>
      </c>
      <c r="C10" s="29"/>
      <c r="D10" s="30"/>
      <c r="E10" s="31" t="str">
        <f aca="false">IF(D10="","",SUM($D$6:D10))</f>
        <v/>
      </c>
      <c r="F10" s="32" t="str">
        <f aca="false">IF(D10="","",MAX($D$6:D10))</f>
        <v/>
      </c>
      <c r="G10" s="33" t="str">
        <f aca="false">IF(OR(D10="",E10&lt;=0),"",F10/E10*100)</f>
        <v/>
      </c>
      <c r="H10" s="34" t="str">
        <f aca="false">IF(G10="","",IF(G10&lt;50,"✅ YES","❌ NO"))</f>
        <v/>
      </c>
      <c r="I10" s="35"/>
      <c r="J10" s="5"/>
    </row>
    <row r="11" customFormat="false" ht="21.75" hidden="false" customHeight="true" outlineLevel="0" collapsed="false">
      <c r="A11" s="5"/>
      <c r="B11" s="28" t="n">
        <v>6</v>
      </c>
      <c r="C11" s="29"/>
      <c r="D11" s="30"/>
      <c r="E11" s="31" t="str">
        <f aca="false">IF(D11="","",SUM($D$6:D11))</f>
        <v/>
      </c>
      <c r="F11" s="32" t="str">
        <f aca="false">IF(D11="","",MAX($D$6:D11))</f>
        <v/>
      </c>
      <c r="G11" s="33" t="str">
        <f aca="false">IF(OR(D11="",E11&lt;=0),"",F11/E11*100)</f>
        <v/>
      </c>
      <c r="H11" s="34" t="str">
        <f aca="false">IF(G11="","",IF(G11&lt;50,"✅ YES","❌ NO"))</f>
        <v/>
      </c>
      <c r="I11" s="35"/>
      <c r="J11" s="5"/>
    </row>
    <row r="12" customFormat="false" ht="21.75" hidden="false" customHeight="true" outlineLevel="0" collapsed="false">
      <c r="A12" s="5"/>
      <c r="B12" s="28" t="n">
        <v>7</v>
      </c>
      <c r="C12" s="29"/>
      <c r="D12" s="30"/>
      <c r="E12" s="31" t="str">
        <f aca="false">IF(D12="","",SUM($D$6:D12))</f>
        <v/>
      </c>
      <c r="F12" s="32" t="str">
        <f aca="false">IF(D12="","",MAX($D$6:D12))</f>
        <v/>
      </c>
      <c r="G12" s="33" t="str">
        <f aca="false">IF(OR(D12="",E12&lt;=0),"",F12/E12*100)</f>
        <v/>
      </c>
      <c r="H12" s="34" t="str">
        <f aca="false">IF(G12="","",IF(G12&lt;50,"✅ YES","❌ NO"))</f>
        <v/>
      </c>
      <c r="I12" s="35"/>
      <c r="J12" s="5"/>
    </row>
    <row r="13" customFormat="false" ht="21.75" hidden="false" customHeight="true" outlineLevel="0" collapsed="false">
      <c r="A13" s="5"/>
      <c r="B13" s="28" t="n">
        <v>8</v>
      </c>
      <c r="C13" s="29"/>
      <c r="D13" s="30"/>
      <c r="E13" s="31" t="str">
        <f aca="false">IF(D13="","",SUM($D$6:D13))</f>
        <v/>
      </c>
      <c r="F13" s="32" t="str">
        <f aca="false">IF(D13="","",MAX($D$6:D13))</f>
        <v/>
      </c>
      <c r="G13" s="33" t="str">
        <f aca="false">IF(OR(D13="",E13&lt;=0),"",F13/E13*100)</f>
        <v/>
      </c>
      <c r="H13" s="34" t="str">
        <f aca="false">IF(G13="","",IF(G13&lt;50,"✅ YES","❌ NO"))</f>
        <v/>
      </c>
      <c r="I13" s="35"/>
      <c r="J13" s="5"/>
    </row>
    <row r="14" customFormat="false" ht="21.75" hidden="false" customHeight="true" outlineLevel="0" collapsed="false">
      <c r="A14" s="5"/>
      <c r="B14" s="28" t="n">
        <v>9</v>
      </c>
      <c r="C14" s="29"/>
      <c r="D14" s="30"/>
      <c r="E14" s="31" t="str">
        <f aca="false">IF(D14="","",SUM($D$6:D14))</f>
        <v/>
      </c>
      <c r="F14" s="32" t="str">
        <f aca="false">IF(D14="","",MAX($D$6:D14))</f>
        <v/>
      </c>
      <c r="G14" s="33" t="str">
        <f aca="false">IF(OR(D14="",E14&lt;=0),"",F14/E14*100)</f>
        <v/>
      </c>
      <c r="H14" s="34" t="str">
        <f aca="false">IF(G14="","",IF(G14&lt;50,"✅ YES","❌ NO"))</f>
        <v/>
      </c>
      <c r="I14" s="35"/>
      <c r="J14" s="5"/>
    </row>
    <row r="15" customFormat="false" ht="21.75" hidden="false" customHeight="true" outlineLevel="0" collapsed="false">
      <c r="A15" s="5"/>
      <c r="B15" s="28" t="n">
        <v>10</v>
      </c>
      <c r="C15" s="29"/>
      <c r="D15" s="30"/>
      <c r="E15" s="31" t="str">
        <f aca="false">IF(D15="","",SUM($D$6:D15))</f>
        <v/>
      </c>
      <c r="F15" s="32" t="str">
        <f aca="false">IF(D15="","",MAX($D$6:D15))</f>
        <v/>
      </c>
      <c r="G15" s="33" t="str">
        <f aca="false">IF(OR(D15="",E15&lt;=0),"",F15/E15*100)</f>
        <v/>
      </c>
      <c r="H15" s="34" t="str">
        <f aca="false">IF(G15="","",IF(G15&lt;50,"✅ YES","❌ NO"))</f>
        <v/>
      </c>
      <c r="I15" s="35"/>
      <c r="J15" s="5"/>
    </row>
    <row r="16" customFormat="false" ht="21.75" hidden="false" customHeight="true" outlineLevel="0" collapsed="false">
      <c r="A16" s="5"/>
      <c r="B16" s="28" t="n">
        <v>11</v>
      </c>
      <c r="C16" s="29"/>
      <c r="D16" s="30"/>
      <c r="E16" s="31" t="str">
        <f aca="false">IF(D16="","",SUM($D$6:D16))</f>
        <v/>
      </c>
      <c r="F16" s="32" t="str">
        <f aca="false">IF(D16="","",MAX($D$6:D16))</f>
        <v/>
      </c>
      <c r="G16" s="33" t="str">
        <f aca="false">IF(OR(D16="",E16&lt;=0),"",F16/E16*100)</f>
        <v/>
      </c>
      <c r="H16" s="34" t="str">
        <f aca="false">IF(G16="","",IF(G16&lt;50,"✅ YES","❌ NO"))</f>
        <v/>
      </c>
      <c r="I16" s="35"/>
      <c r="J16" s="5"/>
    </row>
    <row r="17" customFormat="false" ht="21.75" hidden="false" customHeight="true" outlineLevel="0" collapsed="false">
      <c r="A17" s="5"/>
      <c r="B17" s="28" t="n">
        <v>12</v>
      </c>
      <c r="C17" s="29"/>
      <c r="D17" s="30"/>
      <c r="E17" s="31" t="str">
        <f aca="false">IF(D17="","",SUM($D$6:D17))</f>
        <v/>
      </c>
      <c r="F17" s="32" t="str">
        <f aca="false">IF(D17="","",MAX($D$6:D17))</f>
        <v/>
      </c>
      <c r="G17" s="33" t="str">
        <f aca="false">IF(OR(D17="",E17&lt;=0),"",F17/E17*100)</f>
        <v/>
      </c>
      <c r="H17" s="34" t="str">
        <f aca="false">IF(G17="","",IF(G17&lt;50,"✅ YES","❌ NO"))</f>
        <v/>
      </c>
      <c r="I17" s="35"/>
      <c r="J17" s="5"/>
    </row>
    <row r="18" customFormat="false" ht="21.75" hidden="false" customHeight="true" outlineLevel="0" collapsed="false">
      <c r="A18" s="5"/>
      <c r="B18" s="28" t="n">
        <v>13</v>
      </c>
      <c r="C18" s="29"/>
      <c r="D18" s="30"/>
      <c r="E18" s="31" t="str">
        <f aca="false">IF(D18="","",SUM($D$6:D18))</f>
        <v/>
      </c>
      <c r="F18" s="32" t="str">
        <f aca="false">IF(D18="","",MAX($D$6:D18))</f>
        <v/>
      </c>
      <c r="G18" s="33" t="str">
        <f aca="false">IF(OR(D18="",E18&lt;=0),"",F18/E18*100)</f>
        <v/>
      </c>
      <c r="H18" s="34" t="str">
        <f aca="false">IF(G18="","",IF(G18&lt;50,"✅ YES","❌ NO"))</f>
        <v/>
      </c>
      <c r="I18" s="35"/>
      <c r="J18" s="5"/>
    </row>
    <row r="19" customFormat="false" ht="21.75" hidden="false" customHeight="true" outlineLevel="0" collapsed="false">
      <c r="A19" s="5"/>
      <c r="B19" s="28" t="n">
        <v>14</v>
      </c>
      <c r="C19" s="29"/>
      <c r="D19" s="30"/>
      <c r="E19" s="31" t="str">
        <f aca="false">IF(D19="","",SUM($D$6:D19))</f>
        <v/>
      </c>
      <c r="F19" s="32" t="str">
        <f aca="false">IF(D19="","",MAX($D$6:D19))</f>
        <v/>
      </c>
      <c r="G19" s="33" t="str">
        <f aca="false">IF(OR(D19="",E19&lt;=0),"",F19/E19*100)</f>
        <v/>
      </c>
      <c r="H19" s="34" t="str">
        <f aca="false">IF(G19="","",IF(G19&lt;50,"✅ YES","❌ NO"))</f>
        <v/>
      </c>
      <c r="I19" s="35"/>
      <c r="J19" s="5"/>
    </row>
    <row r="20" customFormat="false" ht="21.75" hidden="false" customHeight="true" outlineLevel="0" collapsed="false">
      <c r="A20" s="5"/>
      <c r="B20" s="28" t="n">
        <v>15</v>
      </c>
      <c r="C20" s="29"/>
      <c r="D20" s="30"/>
      <c r="E20" s="31" t="str">
        <f aca="false">IF(D20="","",SUM($D$6:D20))</f>
        <v/>
      </c>
      <c r="F20" s="32" t="str">
        <f aca="false">IF(D20="","",MAX($D$6:D20))</f>
        <v/>
      </c>
      <c r="G20" s="33" t="str">
        <f aca="false">IF(OR(D20="",E20&lt;=0),"",F20/E20*100)</f>
        <v/>
      </c>
      <c r="H20" s="34" t="str">
        <f aca="false">IF(G20="","",IF(G20&lt;50,"✅ YES","❌ NO"))</f>
        <v/>
      </c>
      <c r="I20" s="35"/>
      <c r="J20" s="5"/>
    </row>
    <row r="21" customFormat="false" ht="21.75" hidden="false" customHeight="true" outlineLevel="0" collapsed="false">
      <c r="A21" s="5"/>
      <c r="B21" s="28" t="n">
        <v>16</v>
      </c>
      <c r="C21" s="29"/>
      <c r="D21" s="30"/>
      <c r="E21" s="31" t="str">
        <f aca="false">IF(D21="","",SUM($D$6:D21))</f>
        <v/>
      </c>
      <c r="F21" s="32" t="str">
        <f aca="false">IF(D21="","",MAX($D$6:D21))</f>
        <v/>
      </c>
      <c r="G21" s="33" t="str">
        <f aca="false">IF(OR(D21="",E21&lt;=0),"",F21/E21*100)</f>
        <v/>
      </c>
      <c r="H21" s="34" t="str">
        <f aca="false">IF(G21="","",IF(G21&lt;50,"✅ YES","❌ NO"))</f>
        <v/>
      </c>
      <c r="I21" s="35"/>
      <c r="J21" s="5"/>
    </row>
    <row r="22" customFormat="false" ht="21.75" hidden="false" customHeight="true" outlineLevel="0" collapsed="false">
      <c r="A22" s="5"/>
      <c r="B22" s="28" t="n">
        <v>17</v>
      </c>
      <c r="C22" s="29"/>
      <c r="D22" s="30"/>
      <c r="E22" s="31" t="str">
        <f aca="false">IF(D22="","",SUM($D$6:D22))</f>
        <v/>
      </c>
      <c r="F22" s="32" t="str">
        <f aca="false">IF(D22="","",MAX($D$6:D22))</f>
        <v/>
      </c>
      <c r="G22" s="33" t="str">
        <f aca="false">IF(OR(D22="",E22&lt;=0),"",F22/E22*100)</f>
        <v/>
      </c>
      <c r="H22" s="34" t="str">
        <f aca="false">IF(G22="","",IF(G22&lt;50,"✅ YES","❌ NO"))</f>
        <v/>
      </c>
      <c r="I22" s="35"/>
      <c r="J22" s="5"/>
    </row>
    <row r="23" customFormat="false" ht="21.75" hidden="false" customHeight="true" outlineLevel="0" collapsed="false">
      <c r="A23" s="5"/>
      <c r="B23" s="28" t="n">
        <v>18</v>
      </c>
      <c r="C23" s="29"/>
      <c r="D23" s="30"/>
      <c r="E23" s="31" t="str">
        <f aca="false">IF(D23="","",SUM($D$6:D23))</f>
        <v/>
      </c>
      <c r="F23" s="32" t="str">
        <f aca="false">IF(D23="","",MAX($D$6:D23))</f>
        <v/>
      </c>
      <c r="G23" s="33" t="str">
        <f aca="false">IF(OR(D23="",E23&lt;=0),"",F23/E23*100)</f>
        <v/>
      </c>
      <c r="H23" s="34" t="str">
        <f aca="false">IF(G23="","",IF(G23&lt;50,"✅ YES","❌ NO"))</f>
        <v/>
      </c>
      <c r="I23" s="35"/>
      <c r="J23" s="5"/>
    </row>
    <row r="24" customFormat="false" ht="21.75" hidden="false" customHeight="true" outlineLevel="0" collapsed="false">
      <c r="A24" s="5"/>
      <c r="B24" s="28" t="n">
        <v>19</v>
      </c>
      <c r="C24" s="29"/>
      <c r="D24" s="30"/>
      <c r="E24" s="31" t="str">
        <f aca="false">IF(D24="","",SUM($D$6:D24))</f>
        <v/>
      </c>
      <c r="F24" s="32" t="str">
        <f aca="false">IF(D24="","",MAX($D$6:D24))</f>
        <v/>
      </c>
      <c r="G24" s="33" t="str">
        <f aca="false">IF(OR(D24="",E24&lt;=0),"",F24/E24*100)</f>
        <v/>
      </c>
      <c r="H24" s="34" t="str">
        <f aca="false">IF(G24="","",IF(G24&lt;50,"✅ YES","❌ NO"))</f>
        <v/>
      </c>
      <c r="I24" s="35"/>
      <c r="J24" s="5"/>
    </row>
    <row r="25" customFormat="false" ht="21.75" hidden="false" customHeight="true" outlineLevel="0" collapsed="false">
      <c r="A25" s="5"/>
      <c r="B25" s="28" t="n">
        <v>20</v>
      </c>
      <c r="C25" s="29"/>
      <c r="D25" s="30"/>
      <c r="E25" s="31" t="str">
        <f aca="false">IF(D25="","",SUM($D$6:D25))</f>
        <v/>
      </c>
      <c r="F25" s="32" t="str">
        <f aca="false">IF(D25="","",MAX($D$6:D25))</f>
        <v/>
      </c>
      <c r="G25" s="33" t="str">
        <f aca="false">IF(OR(D25="",E25&lt;=0),"",F25/E25*100)</f>
        <v/>
      </c>
      <c r="H25" s="34" t="str">
        <f aca="false">IF(G25="","",IF(G25&lt;50,"✅ YES","❌ NO"))</f>
        <v/>
      </c>
      <c r="I25" s="35"/>
      <c r="J25" s="5"/>
    </row>
    <row r="26" customFormat="false" ht="21.75" hidden="false" customHeight="true" outlineLevel="0" collapsed="false">
      <c r="A26" s="5"/>
      <c r="B26" s="28" t="n">
        <v>21</v>
      </c>
      <c r="C26" s="29"/>
      <c r="D26" s="30"/>
      <c r="E26" s="31" t="str">
        <f aca="false">IF(D26="","",SUM($D$6:D26))</f>
        <v/>
      </c>
      <c r="F26" s="32" t="str">
        <f aca="false">IF(D26="","",MAX($D$6:D26))</f>
        <v/>
      </c>
      <c r="G26" s="33" t="str">
        <f aca="false">IF(OR(D26="",E26&lt;=0),"",F26/E26*100)</f>
        <v/>
      </c>
      <c r="H26" s="34" t="str">
        <f aca="false">IF(G26="","",IF(G26&lt;50,"✅ YES","❌ NO"))</f>
        <v/>
      </c>
      <c r="I26" s="35"/>
      <c r="J26" s="5"/>
    </row>
    <row r="27" customFormat="false" ht="21.75" hidden="false" customHeight="true" outlineLevel="0" collapsed="false">
      <c r="A27" s="5"/>
      <c r="B27" s="28" t="n">
        <v>22</v>
      </c>
      <c r="C27" s="29"/>
      <c r="D27" s="30"/>
      <c r="E27" s="31" t="str">
        <f aca="false">IF(D27="","",SUM($D$6:D27))</f>
        <v/>
      </c>
      <c r="F27" s="32" t="str">
        <f aca="false">IF(D27="","",MAX($D$6:D27))</f>
        <v/>
      </c>
      <c r="G27" s="33" t="str">
        <f aca="false">IF(OR(D27="",E27&lt;=0),"",F27/E27*100)</f>
        <v/>
      </c>
      <c r="H27" s="34" t="str">
        <f aca="false">IF(G27="","",IF(G27&lt;50,"✅ YES","❌ NO"))</f>
        <v/>
      </c>
      <c r="I27" s="35"/>
      <c r="J27" s="5"/>
    </row>
    <row r="28" customFormat="false" ht="21.75" hidden="false" customHeight="true" outlineLevel="0" collapsed="false">
      <c r="A28" s="5"/>
      <c r="B28" s="28" t="n">
        <v>23</v>
      </c>
      <c r="C28" s="29"/>
      <c r="D28" s="30"/>
      <c r="E28" s="31" t="str">
        <f aca="false">IF(D28="","",SUM($D$6:D28))</f>
        <v/>
      </c>
      <c r="F28" s="32" t="str">
        <f aca="false">IF(D28="","",MAX($D$6:D28))</f>
        <v/>
      </c>
      <c r="G28" s="33" t="str">
        <f aca="false">IF(OR(D28="",E28&lt;=0),"",F28/E28*100)</f>
        <v/>
      </c>
      <c r="H28" s="34" t="str">
        <f aca="false">IF(G28="","",IF(G28&lt;50,"✅ YES","❌ NO"))</f>
        <v/>
      </c>
      <c r="I28" s="35"/>
      <c r="J28" s="5"/>
    </row>
    <row r="29" customFormat="false" ht="21.75" hidden="false" customHeight="true" outlineLevel="0" collapsed="false">
      <c r="A29" s="5"/>
      <c r="B29" s="28" t="n">
        <v>24</v>
      </c>
      <c r="C29" s="29"/>
      <c r="D29" s="30"/>
      <c r="E29" s="31" t="str">
        <f aca="false">IF(D29="","",SUM($D$6:D29))</f>
        <v/>
      </c>
      <c r="F29" s="32" t="str">
        <f aca="false">IF(D29="","",MAX($D$6:D29))</f>
        <v/>
      </c>
      <c r="G29" s="33" t="str">
        <f aca="false">IF(OR(D29="",E29&lt;=0),"",F29/E29*100)</f>
        <v/>
      </c>
      <c r="H29" s="34" t="str">
        <f aca="false">IF(G29="","",IF(G29&lt;50,"✅ YES","❌ NO"))</f>
        <v/>
      </c>
      <c r="I29" s="35"/>
      <c r="J29" s="5"/>
    </row>
    <row r="30" customFormat="false" ht="21.75" hidden="false" customHeight="true" outlineLevel="0" collapsed="false">
      <c r="A30" s="5"/>
      <c r="B30" s="28" t="n">
        <v>25</v>
      </c>
      <c r="C30" s="29"/>
      <c r="D30" s="30"/>
      <c r="E30" s="31" t="str">
        <f aca="false">IF(D30="","",SUM($D$6:D30))</f>
        <v/>
      </c>
      <c r="F30" s="32" t="str">
        <f aca="false">IF(D30="","",MAX($D$6:D30))</f>
        <v/>
      </c>
      <c r="G30" s="33" t="str">
        <f aca="false">IF(OR(D30="",E30&lt;=0),"",F30/E30*100)</f>
        <v/>
      </c>
      <c r="H30" s="34" t="str">
        <f aca="false">IF(G30="","",IF(G30&lt;50,"✅ YES","❌ NO"))</f>
        <v/>
      </c>
      <c r="I30" s="35"/>
      <c r="J30" s="5"/>
    </row>
    <row r="31" customFormat="false" ht="21.75" hidden="false" customHeight="true" outlineLevel="0" collapsed="false">
      <c r="A31" s="5"/>
      <c r="B31" s="28" t="n">
        <v>26</v>
      </c>
      <c r="C31" s="29"/>
      <c r="D31" s="30"/>
      <c r="E31" s="31" t="str">
        <f aca="false">IF(D31="","",SUM($D$6:D31))</f>
        <v/>
      </c>
      <c r="F31" s="32" t="str">
        <f aca="false">IF(D31="","",MAX($D$6:D31))</f>
        <v/>
      </c>
      <c r="G31" s="33" t="str">
        <f aca="false">IF(OR(D31="",E31&lt;=0),"",F31/E31*100)</f>
        <v/>
      </c>
      <c r="H31" s="34" t="str">
        <f aca="false">IF(G31="","",IF(G31&lt;50,"✅ YES","❌ NO"))</f>
        <v/>
      </c>
      <c r="I31" s="35"/>
      <c r="J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.75" hidden="false" customHeight="true" outlineLevel="0" collapsed="false">
      <c r="A34" s="5"/>
      <c r="B34" s="36" t="s">
        <v>48</v>
      </c>
      <c r="C34" s="5"/>
      <c r="D34" s="5"/>
      <c r="E34" s="5"/>
      <c r="F34" s="5"/>
      <c r="G34" s="5"/>
      <c r="H34" s="5"/>
      <c r="I34" s="5"/>
      <c r="J34" s="5"/>
    </row>
    <row r="35" customFormat="false" ht="18" hidden="false" customHeight="true" outlineLevel="0" collapsed="false">
      <c r="A35" s="37" t="s">
        <v>5</v>
      </c>
      <c r="B35" s="38" t="n">
        <f aca="false">'📊 Dashboard'!C7+B36</f>
        <v>50000</v>
      </c>
      <c r="C35" s="5"/>
      <c r="D35" s="5"/>
      <c r="E35" s="5"/>
      <c r="F35" s="5"/>
      <c r="G35" s="5"/>
      <c r="H35" s="5"/>
      <c r="I35" s="5"/>
      <c r="J35" s="5"/>
    </row>
    <row r="36" customFormat="false" ht="18" hidden="false" customHeight="true" outlineLevel="0" collapsed="false">
      <c r="A36" s="37" t="s">
        <v>7</v>
      </c>
      <c r="B36" s="38" t="n">
        <f aca="false">SUM(D6:D31)</f>
        <v>0</v>
      </c>
      <c r="C36" s="5"/>
      <c r="D36" s="5"/>
      <c r="E36" s="5"/>
      <c r="F36" s="5"/>
      <c r="G36" s="5"/>
      <c r="H36" s="5"/>
      <c r="I36" s="5"/>
      <c r="J36" s="5"/>
    </row>
    <row r="37" customFormat="false" ht="18" hidden="false" customHeight="true" outlineLevel="0" collapsed="false">
      <c r="A37" s="37" t="s">
        <v>9</v>
      </c>
      <c r="B37" s="38" t="n">
        <f aca="false">IF(MAX(D6:D31)&gt;0,MAX(D6:D31),0)</f>
        <v>0</v>
      </c>
      <c r="C37" s="5"/>
      <c r="D37" s="5"/>
      <c r="E37" s="5"/>
      <c r="F37" s="5"/>
      <c r="G37" s="5"/>
      <c r="H37" s="5"/>
      <c r="I37" s="5"/>
      <c r="J37" s="5"/>
    </row>
    <row r="38" customFormat="false" ht="18" hidden="false" customHeight="true" outlineLevel="0" collapsed="false">
      <c r="A38" s="37" t="s">
        <v>11</v>
      </c>
      <c r="B38" s="39" t="n">
        <f aca="false">COUNTA(C6:C31)</f>
        <v>0</v>
      </c>
      <c r="C38" s="5"/>
      <c r="D38" s="5"/>
      <c r="E38" s="5"/>
      <c r="F38" s="5"/>
      <c r="G38" s="5"/>
      <c r="H38" s="5"/>
      <c r="I38" s="5"/>
      <c r="J38" s="5"/>
    </row>
    <row r="39" customFormat="false" ht="18" hidden="false" customHeight="true" outlineLevel="0" collapsed="false">
      <c r="A39" s="37" t="s">
        <v>13</v>
      </c>
      <c r="B39" s="39" t="n">
        <f aca="false">COUNTIF(D6:D31,"&gt;0")</f>
        <v>0</v>
      </c>
      <c r="C39" s="5"/>
      <c r="D39" s="5"/>
      <c r="E39" s="5"/>
      <c r="F39" s="5"/>
      <c r="G39" s="5"/>
      <c r="H39" s="5"/>
      <c r="I39" s="5"/>
      <c r="J39" s="5"/>
    </row>
    <row r="40" customFormat="false" ht="18" hidden="false" customHeight="true" outlineLevel="0" collapsed="false">
      <c r="A40" s="37" t="s">
        <v>15</v>
      </c>
      <c r="B40" s="39" t="n">
        <f aca="false">COUNTIF(D6:D31,"&lt;0")</f>
        <v>0</v>
      </c>
      <c r="C40" s="5"/>
      <c r="D40" s="5"/>
      <c r="E40" s="5"/>
      <c r="F40" s="5"/>
      <c r="G40" s="5"/>
      <c r="H40" s="5"/>
      <c r="I40" s="5"/>
      <c r="J40" s="5"/>
    </row>
    <row r="41" customFormat="false" ht="18" hidden="false" customHeight="true" outlineLevel="0" collapsed="false">
      <c r="A41" s="37" t="s">
        <v>20</v>
      </c>
      <c r="B41" s="38" t="n">
        <f aca="false">IF(B38&gt;0,B36/B38,0)</f>
        <v>0</v>
      </c>
      <c r="C41" s="5"/>
      <c r="D41" s="5"/>
      <c r="E41" s="5"/>
      <c r="F41" s="5"/>
      <c r="G41" s="5"/>
      <c r="H41" s="5"/>
      <c r="I41" s="5"/>
      <c r="J41" s="5"/>
    </row>
    <row r="42" customFormat="false" ht="18" hidden="false" customHeight="true" outlineLevel="0" collapsed="false">
      <c r="A42" s="37" t="s">
        <v>30</v>
      </c>
      <c r="B42" s="40" t="n">
        <f aca="false">IF(B38&gt;0,B39/B38,0)</f>
        <v>0</v>
      </c>
      <c r="C42" s="5"/>
      <c r="D42" s="5"/>
      <c r="E42" s="5"/>
      <c r="F42" s="5"/>
      <c r="G42" s="5"/>
      <c r="H42" s="5"/>
      <c r="I42" s="5"/>
      <c r="J42" s="5"/>
    </row>
    <row r="43" customFormat="false" ht="18" hidden="false" customHeight="true" outlineLevel="0" collapsed="false">
      <c r="A43" s="37" t="s">
        <v>31</v>
      </c>
      <c r="B43" s="41" t="n">
        <f aca="false">IF(SUMIF(D6:D31,"&lt;0",D6:D31)&lt;&gt;0,SUMIF(D6:D31,"&gt;0",D6:D31)/ABS(SUMIF(D6:D31,"&lt;0",D6:D31)),999)</f>
        <v>999</v>
      </c>
      <c r="C43" s="5"/>
      <c r="D43" s="5"/>
      <c r="E43" s="5"/>
      <c r="F43" s="5"/>
      <c r="G43" s="5"/>
      <c r="H43" s="5"/>
      <c r="I43" s="5"/>
      <c r="J43" s="5"/>
    </row>
    <row r="44" customFormat="false" ht="18" hidden="false" customHeight="true" outlineLevel="0" collapsed="false">
      <c r="A44" s="37" t="s">
        <v>33</v>
      </c>
      <c r="B44" s="38" t="n">
        <f aca="false">IF(B39&gt;0,AVERAGEIF(D6:D31,"&gt;0",D6:D31),0)</f>
        <v>0</v>
      </c>
      <c r="C44" s="5"/>
      <c r="D44" s="5"/>
      <c r="E44" s="5"/>
      <c r="F44" s="5"/>
      <c r="G44" s="5"/>
      <c r="H44" s="5"/>
      <c r="I44" s="5"/>
      <c r="J44" s="5"/>
    </row>
    <row r="45" customFormat="false" ht="18" hidden="false" customHeight="true" outlineLevel="0" collapsed="false">
      <c r="A45" s="37" t="s">
        <v>35</v>
      </c>
      <c r="B45" s="38" t="n">
        <f aca="false">IF(B40&gt;0,ABS(AVERAGEIF(D6:D31,"&lt;0",D6:D31)),0)</f>
        <v>0</v>
      </c>
      <c r="C45" s="5"/>
      <c r="D45" s="5"/>
      <c r="E45" s="5"/>
      <c r="F45" s="5"/>
      <c r="G45" s="5"/>
      <c r="H45" s="5"/>
      <c r="I45" s="5"/>
      <c r="J45" s="5"/>
    </row>
    <row r="46" customFormat="false" ht="18" hidden="false" customHeight="true" outlineLevel="0" collapsed="false">
      <c r="A46" s="37" t="s">
        <v>38</v>
      </c>
      <c r="B46" s="38" t="n">
        <f aca="false">B42*B44-(1-B42)*B45</f>
        <v>0</v>
      </c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</row>
  </sheetData>
  <mergeCells count="2"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FA8C"/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3"/>
  </cols>
  <sheetData>
    <row r="1" customFormat="false" ht="21.75" hidden="false" customHeight="true" outlineLevel="0" collapsed="false">
      <c r="A1" s="5"/>
      <c r="B1" s="5"/>
      <c r="C1" s="5"/>
      <c r="D1" s="5"/>
      <c r="E1" s="5"/>
      <c r="F1" s="5"/>
      <c r="G1" s="5"/>
      <c r="H1" s="5"/>
    </row>
    <row r="2" customFormat="false" ht="33.75" hidden="false" customHeight="true" outlineLevel="0" collapsed="false">
      <c r="A2" s="42" t="s">
        <v>49</v>
      </c>
      <c r="B2" s="42"/>
      <c r="C2" s="42"/>
      <c r="D2" s="42"/>
      <c r="E2" s="42"/>
      <c r="F2" s="42"/>
      <c r="G2" s="42"/>
      <c r="H2" s="5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21.75" hidden="false" customHeight="true" outlineLevel="0" collapsed="false">
      <c r="A4" s="6" t="s">
        <v>50</v>
      </c>
      <c r="B4" s="6"/>
      <c r="C4" s="6"/>
      <c r="D4" s="5"/>
      <c r="E4" s="43" t="s">
        <v>51</v>
      </c>
      <c r="F4" s="43"/>
      <c r="G4" s="5"/>
      <c r="H4" s="5"/>
    </row>
    <row r="5" customFormat="false" ht="21.75" hidden="false" customHeight="true" outlineLevel="0" collapsed="false">
      <c r="A5" s="5"/>
      <c r="B5" s="7" t="s">
        <v>52</v>
      </c>
      <c r="C5" s="44" t="n">
        <v>3000</v>
      </c>
      <c r="D5" s="5"/>
      <c r="E5" s="7" t="s">
        <v>22</v>
      </c>
      <c r="F5" s="45" t="n">
        <f aca="false">IF(C5&gt;0,C6/C5*100,100)</f>
        <v>33.3333333333333</v>
      </c>
      <c r="G5" s="5"/>
      <c r="H5" s="5"/>
    </row>
    <row r="6" customFormat="false" ht="21.75" hidden="false" customHeight="true" outlineLevel="0" collapsed="false">
      <c r="A6" s="5"/>
      <c r="B6" s="7" t="s">
        <v>53</v>
      </c>
      <c r="C6" s="44" t="n">
        <v>1000</v>
      </c>
      <c r="D6" s="5"/>
      <c r="E6" s="7" t="s">
        <v>54</v>
      </c>
      <c r="F6" s="46" t="str">
        <f aca="false">IF(F5&lt;50,"✅ ELIGIBLE","❌ NOT YET")</f>
        <v>✅ ELIGIBLE</v>
      </c>
      <c r="G6" s="5"/>
      <c r="H6" s="5"/>
    </row>
    <row r="7" customFormat="false" ht="21.75" hidden="false" customHeight="true" outlineLevel="0" collapsed="false">
      <c r="A7" s="5"/>
      <c r="B7" s="7" t="s">
        <v>55</v>
      </c>
      <c r="C7" s="44" t="n">
        <v>0</v>
      </c>
      <c r="D7" s="5"/>
      <c r="E7" s="7" t="s">
        <v>56</v>
      </c>
      <c r="F7" s="47" t="n">
        <f aca="false">MAX(0,C6/0.5-C5)</f>
        <v>0</v>
      </c>
      <c r="G7" s="5"/>
      <c r="H7" s="5"/>
    </row>
    <row r="8" customFormat="false" ht="21.75" hidden="false" customHeight="true" outlineLevel="0" collapsed="false">
      <c r="A8" s="5"/>
      <c r="B8" s="5"/>
      <c r="C8" s="5"/>
      <c r="D8" s="5"/>
      <c r="E8" s="7" t="s">
        <v>57</v>
      </c>
      <c r="F8" s="48" t="n">
        <f aca="false">MAX(0,C6/0.5-C5)</f>
        <v>0</v>
      </c>
      <c r="G8" s="5"/>
      <c r="H8" s="5"/>
    </row>
    <row r="9" customFormat="false" ht="21.75" hidden="false" customHeight="true" outlineLevel="0" collapsed="false">
      <c r="A9" s="5"/>
      <c r="B9" s="5"/>
      <c r="C9" s="5"/>
      <c r="D9" s="5"/>
      <c r="E9" s="7" t="s">
        <v>58</v>
      </c>
      <c r="F9" s="45" t="n">
        <f aca="false">IF(C5+C7&gt;0,C6/(C5+C7)*100,100)</f>
        <v>33.3333333333333</v>
      </c>
      <c r="G9" s="5"/>
      <c r="H9" s="5"/>
    </row>
    <row r="10" customFormat="false" ht="21.75" hidden="false" customHeight="true" outlineLevel="0" collapsed="false">
      <c r="A10" s="5"/>
      <c r="B10" s="5"/>
      <c r="C10" s="5"/>
      <c r="D10" s="5"/>
      <c r="E10" s="7" t="s">
        <v>59</v>
      </c>
      <c r="F10" s="46" t="str">
        <f aca="false">IF((C5+C7)&gt;0,IF(C6/(C5+C7)*100&lt;50,"✅ ELIGIBLE","❌ NOT YET"),"–")</f>
        <v>✅ ELIGIBLE</v>
      </c>
      <c r="G10" s="5"/>
      <c r="H10" s="5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21.75" hidden="false" customHeight="true" outlineLevel="0" collapsed="false">
      <c r="A13" s="49" t="s">
        <v>60</v>
      </c>
      <c r="B13" s="49"/>
      <c r="C13" s="49"/>
      <c r="D13" s="49"/>
      <c r="E13" s="49"/>
      <c r="F13" s="49"/>
      <c r="G13" s="5"/>
      <c r="H13" s="5"/>
    </row>
    <row r="14" customFormat="false" ht="21.75" hidden="false" customHeight="true" outlineLevel="0" collapsed="false">
      <c r="A14" s="5"/>
      <c r="B14" s="7" t="s">
        <v>53</v>
      </c>
      <c r="C14" s="50" t="s">
        <v>61</v>
      </c>
      <c r="D14" s="5"/>
      <c r="E14" s="5"/>
      <c r="F14" s="5"/>
      <c r="G14" s="5"/>
      <c r="H14" s="5"/>
    </row>
    <row r="15" customFormat="false" ht="21.75" hidden="false" customHeight="true" outlineLevel="0" collapsed="false">
      <c r="A15" s="5"/>
      <c r="B15" s="7" t="s">
        <v>62</v>
      </c>
      <c r="C15" s="50" t="s">
        <v>63</v>
      </c>
      <c r="D15" s="5"/>
      <c r="E15" s="5"/>
      <c r="F15" s="5"/>
      <c r="G15" s="5"/>
      <c r="H15" s="5"/>
    </row>
    <row r="16" customFormat="false" ht="21.75" hidden="false" customHeight="true" outlineLevel="0" collapsed="false">
      <c r="A16" s="5"/>
      <c r="B16" s="7" t="s">
        <v>64</v>
      </c>
      <c r="C16" s="51" t="s">
        <v>65</v>
      </c>
      <c r="D16" s="5"/>
      <c r="E16" s="5"/>
      <c r="F16" s="5"/>
      <c r="G16" s="5"/>
      <c r="H16" s="5"/>
    </row>
    <row r="17" customFormat="false" ht="21.75" hidden="false" customHeight="true" outlineLevel="0" collapsed="false">
      <c r="A17" s="5"/>
      <c r="B17" s="7" t="s">
        <v>66</v>
      </c>
      <c r="C17" s="50" t="s">
        <v>67</v>
      </c>
      <c r="D17" s="5"/>
      <c r="E17" s="5"/>
      <c r="F17" s="5"/>
      <c r="G17" s="5"/>
      <c r="H17" s="5"/>
    </row>
    <row r="18" customFormat="false" ht="21.75" hidden="false" customHeight="true" outlineLevel="0" collapsed="false">
      <c r="A18" s="5"/>
      <c r="B18" s="7" t="s">
        <v>68</v>
      </c>
      <c r="C18" s="50"/>
      <c r="D18" s="5"/>
      <c r="E18" s="5"/>
      <c r="F18" s="5"/>
      <c r="G18" s="5"/>
      <c r="H18" s="5"/>
    </row>
    <row r="19" customFormat="false" ht="21.75" hidden="false" customHeight="true" outlineLevel="0" collapsed="false">
      <c r="A19" s="5"/>
      <c r="B19" s="7" t="s">
        <v>69</v>
      </c>
      <c r="C19" s="50" t="s">
        <v>70</v>
      </c>
      <c r="D19" s="5"/>
      <c r="E19" s="5"/>
      <c r="F19" s="5"/>
      <c r="G19" s="5"/>
      <c r="H19" s="5"/>
    </row>
    <row r="20" customFormat="false" ht="21.75" hidden="false" customHeight="true" outlineLevel="0" collapsed="false">
      <c r="A20" s="5"/>
      <c r="B20" s="7" t="s">
        <v>71</v>
      </c>
      <c r="C20" s="34" t="s">
        <v>72</v>
      </c>
      <c r="D20" s="5"/>
      <c r="E20" s="5"/>
      <c r="F20" s="5"/>
      <c r="G20" s="5"/>
      <c r="H20" s="5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1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21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21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21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21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21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21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1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21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</row>
  </sheetData>
  <mergeCells count="4">
    <mergeCell ref="A2:G2"/>
    <mergeCell ref="A4:C4"/>
    <mergeCell ref="E4:F4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FA7B"/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9" min="3" style="1" width="14"/>
    <col collapsed="false" customWidth="true" hidden="false" outlineLevel="0" max="10" min="10" style="1" width="24"/>
  </cols>
  <sheetData>
    <row r="1" customFormat="false" ht="15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</row>
    <row r="2" customFormat="false" ht="33.75" hidden="false" customHeight="true" outlineLevel="0" collapsed="false">
      <c r="A2" s="25" t="s">
        <v>73</v>
      </c>
      <c r="B2" s="25"/>
      <c r="C2" s="25"/>
      <c r="D2" s="25"/>
      <c r="E2" s="25"/>
      <c r="F2" s="25"/>
      <c r="G2" s="25"/>
      <c r="H2" s="25"/>
      <c r="I2" s="25"/>
      <c r="J2" s="2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24" hidden="false" customHeight="true" outlineLevel="0" collapsed="false">
      <c r="A4" s="5"/>
      <c r="B4" s="52" t="s">
        <v>42</v>
      </c>
      <c r="C4" s="52" t="s">
        <v>74</v>
      </c>
      <c r="D4" s="52" t="s">
        <v>75</v>
      </c>
      <c r="E4" s="52" t="s">
        <v>7</v>
      </c>
      <c r="F4" s="52" t="s">
        <v>46</v>
      </c>
      <c r="G4" s="52" t="s">
        <v>64</v>
      </c>
      <c r="H4" s="52" t="s">
        <v>76</v>
      </c>
      <c r="I4" s="52" t="s">
        <v>54</v>
      </c>
      <c r="J4" s="52" t="s">
        <v>47</v>
      </c>
    </row>
    <row r="5" customFormat="false" ht="21.75" hidden="false" customHeight="true" outlineLevel="0" collapsed="false">
      <c r="A5" s="5"/>
      <c r="B5" s="28" t="n">
        <v>1</v>
      </c>
      <c r="C5" s="53"/>
      <c r="D5" s="54"/>
      <c r="E5" s="54"/>
      <c r="F5" s="55"/>
      <c r="G5" s="55"/>
      <c r="H5" s="33"/>
      <c r="I5" s="55"/>
      <c r="J5" s="53"/>
    </row>
    <row r="6" customFormat="false" ht="21.75" hidden="false" customHeight="true" outlineLevel="0" collapsed="false">
      <c r="A6" s="5"/>
      <c r="B6" s="56" t="n">
        <v>2</v>
      </c>
      <c r="C6" s="57"/>
      <c r="D6" s="58"/>
      <c r="E6" s="58"/>
      <c r="F6" s="59"/>
      <c r="G6" s="59"/>
      <c r="H6" s="60"/>
      <c r="I6" s="59"/>
      <c r="J6" s="57"/>
    </row>
    <row r="7" customFormat="false" ht="21.75" hidden="false" customHeight="true" outlineLevel="0" collapsed="false">
      <c r="A7" s="5"/>
      <c r="B7" s="28" t="n">
        <v>3</v>
      </c>
      <c r="C7" s="53"/>
      <c r="D7" s="54"/>
      <c r="E7" s="54"/>
      <c r="F7" s="55"/>
      <c r="G7" s="55"/>
      <c r="H7" s="33"/>
      <c r="I7" s="55"/>
      <c r="J7" s="53"/>
    </row>
    <row r="8" customFormat="false" ht="21.75" hidden="false" customHeight="true" outlineLevel="0" collapsed="false">
      <c r="A8" s="5"/>
      <c r="B8" s="56" t="n">
        <v>4</v>
      </c>
      <c r="C8" s="57"/>
      <c r="D8" s="58"/>
      <c r="E8" s="58"/>
      <c r="F8" s="59"/>
      <c r="G8" s="59"/>
      <c r="H8" s="60"/>
      <c r="I8" s="59"/>
      <c r="J8" s="57"/>
    </row>
    <row r="9" customFormat="false" ht="21.75" hidden="false" customHeight="true" outlineLevel="0" collapsed="false">
      <c r="A9" s="5"/>
      <c r="B9" s="28" t="n">
        <v>5</v>
      </c>
      <c r="C9" s="53"/>
      <c r="D9" s="54"/>
      <c r="E9" s="54"/>
      <c r="F9" s="55"/>
      <c r="G9" s="55"/>
      <c r="H9" s="33"/>
      <c r="I9" s="55"/>
      <c r="J9" s="53"/>
    </row>
    <row r="10" customFormat="false" ht="21.75" hidden="false" customHeight="true" outlineLevel="0" collapsed="false">
      <c r="A10" s="5"/>
      <c r="B10" s="56" t="n">
        <v>6</v>
      </c>
      <c r="C10" s="57"/>
      <c r="D10" s="58"/>
      <c r="E10" s="58"/>
      <c r="F10" s="59"/>
      <c r="G10" s="59"/>
      <c r="H10" s="60"/>
      <c r="I10" s="59"/>
      <c r="J10" s="57"/>
    </row>
    <row r="11" customFormat="false" ht="21.75" hidden="false" customHeight="true" outlineLevel="0" collapsed="false">
      <c r="A11" s="5"/>
      <c r="B11" s="28" t="n">
        <v>7</v>
      </c>
      <c r="C11" s="53"/>
      <c r="D11" s="54"/>
      <c r="E11" s="54"/>
      <c r="F11" s="55"/>
      <c r="G11" s="55"/>
      <c r="H11" s="33"/>
      <c r="I11" s="55"/>
      <c r="J11" s="53"/>
    </row>
    <row r="12" customFormat="false" ht="21.75" hidden="false" customHeight="true" outlineLevel="0" collapsed="false">
      <c r="A12" s="5"/>
      <c r="B12" s="56" t="n">
        <v>8</v>
      </c>
      <c r="C12" s="57"/>
      <c r="D12" s="58"/>
      <c r="E12" s="58"/>
      <c r="F12" s="59"/>
      <c r="G12" s="59"/>
      <c r="H12" s="60"/>
      <c r="I12" s="59"/>
      <c r="J12" s="57"/>
    </row>
    <row r="13" customFormat="false" ht="21.75" hidden="false" customHeight="true" outlineLevel="0" collapsed="false">
      <c r="A13" s="5"/>
      <c r="B13" s="28" t="n">
        <v>9</v>
      </c>
      <c r="C13" s="53"/>
      <c r="D13" s="54"/>
      <c r="E13" s="54"/>
      <c r="F13" s="55"/>
      <c r="G13" s="55"/>
      <c r="H13" s="33"/>
      <c r="I13" s="55"/>
      <c r="J13" s="53"/>
    </row>
    <row r="14" customFormat="false" ht="21.75" hidden="false" customHeight="true" outlineLevel="0" collapsed="false">
      <c r="A14" s="5"/>
      <c r="B14" s="56" t="n">
        <v>10</v>
      </c>
      <c r="C14" s="57"/>
      <c r="D14" s="58"/>
      <c r="E14" s="58"/>
      <c r="F14" s="59"/>
      <c r="G14" s="59"/>
      <c r="H14" s="60"/>
      <c r="I14" s="59"/>
      <c r="J14" s="57"/>
    </row>
    <row r="15" customFormat="false" ht="21.75" hidden="false" customHeight="true" outlineLevel="0" collapsed="false">
      <c r="A15" s="5"/>
      <c r="B15" s="28" t="n">
        <v>11</v>
      </c>
      <c r="C15" s="53"/>
      <c r="D15" s="54"/>
      <c r="E15" s="54"/>
      <c r="F15" s="55"/>
      <c r="G15" s="55"/>
      <c r="H15" s="33"/>
      <c r="I15" s="55"/>
      <c r="J15" s="53"/>
    </row>
    <row r="16" customFormat="false" ht="21.75" hidden="false" customHeight="true" outlineLevel="0" collapsed="false">
      <c r="A16" s="5"/>
      <c r="B16" s="56" t="n">
        <v>12</v>
      </c>
      <c r="C16" s="57"/>
      <c r="D16" s="58"/>
      <c r="E16" s="58"/>
      <c r="F16" s="59"/>
      <c r="G16" s="59"/>
      <c r="H16" s="60"/>
      <c r="I16" s="59"/>
      <c r="J16" s="57"/>
    </row>
    <row r="17" customFormat="false" ht="21.75" hidden="false" customHeight="true" outlineLevel="0" collapsed="false">
      <c r="A17" s="5"/>
      <c r="B17" s="28" t="n">
        <v>13</v>
      </c>
      <c r="C17" s="53"/>
      <c r="D17" s="54"/>
      <c r="E17" s="54"/>
      <c r="F17" s="55"/>
      <c r="G17" s="55"/>
      <c r="H17" s="33"/>
      <c r="I17" s="55"/>
      <c r="J17" s="53"/>
    </row>
    <row r="18" customFormat="false" ht="21.75" hidden="false" customHeight="true" outlineLevel="0" collapsed="false">
      <c r="A18" s="5"/>
      <c r="B18" s="56" t="n">
        <v>14</v>
      </c>
      <c r="C18" s="57"/>
      <c r="D18" s="58"/>
      <c r="E18" s="58"/>
      <c r="F18" s="59"/>
      <c r="G18" s="59"/>
      <c r="H18" s="60"/>
      <c r="I18" s="59"/>
      <c r="J18" s="57"/>
    </row>
    <row r="19" customFormat="false" ht="21.75" hidden="false" customHeight="true" outlineLevel="0" collapsed="false">
      <c r="A19" s="5"/>
      <c r="B19" s="28" t="n">
        <v>15</v>
      </c>
      <c r="C19" s="53"/>
      <c r="D19" s="54"/>
      <c r="E19" s="54"/>
      <c r="F19" s="55"/>
      <c r="G19" s="55"/>
      <c r="H19" s="33"/>
      <c r="I19" s="55"/>
      <c r="J19" s="53"/>
    </row>
    <row r="20" customFormat="false" ht="21.75" hidden="false" customHeight="true" outlineLevel="0" collapsed="false">
      <c r="A20" s="5"/>
      <c r="B20" s="56" t="n">
        <v>16</v>
      </c>
      <c r="C20" s="57"/>
      <c r="D20" s="58"/>
      <c r="E20" s="58"/>
      <c r="F20" s="59"/>
      <c r="G20" s="59"/>
      <c r="H20" s="60"/>
      <c r="I20" s="59"/>
      <c r="J20" s="57"/>
    </row>
    <row r="21" customFormat="false" ht="21.75" hidden="false" customHeight="true" outlineLevel="0" collapsed="false">
      <c r="A21" s="5"/>
      <c r="B21" s="28" t="n">
        <v>17</v>
      </c>
      <c r="C21" s="53"/>
      <c r="D21" s="54"/>
      <c r="E21" s="54"/>
      <c r="F21" s="55"/>
      <c r="G21" s="55"/>
      <c r="H21" s="33"/>
      <c r="I21" s="55"/>
      <c r="J21" s="53"/>
    </row>
    <row r="22" customFormat="false" ht="21.75" hidden="false" customHeight="true" outlineLevel="0" collapsed="false">
      <c r="A22" s="5"/>
      <c r="B22" s="56" t="n">
        <v>18</v>
      </c>
      <c r="C22" s="57"/>
      <c r="D22" s="58"/>
      <c r="E22" s="58"/>
      <c r="F22" s="59"/>
      <c r="G22" s="59"/>
      <c r="H22" s="60"/>
      <c r="I22" s="59"/>
      <c r="J22" s="57"/>
    </row>
    <row r="23" customFormat="false" ht="21.75" hidden="false" customHeight="true" outlineLevel="0" collapsed="false">
      <c r="A23" s="5"/>
      <c r="B23" s="28" t="n">
        <v>19</v>
      </c>
      <c r="C23" s="53"/>
      <c r="D23" s="54"/>
      <c r="E23" s="54"/>
      <c r="F23" s="55"/>
      <c r="G23" s="55"/>
      <c r="H23" s="33"/>
      <c r="I23" s="55"/>
      <c r="J23" s="53"/>
    </row>
    <row r="24" customFormat="false" ht="21.75" hidden="false" customHeight="true" outlineLevel="0" collapsed="false">
      <c r="A24" s="5"/>
      <c r="B24" s="56" t="n">
        <v>20</v>
      </c>
      <c r="C24" s="57"/>
      <c r="D24" s="58"/>
      <c r="E24" s="58"/>
      <c r="F24" s="59"/>
      <c r="G24" s="59"/>
      <c r="H24" s="60"/>
      <c r="I24" s="59"/>
      <c r="J24" s="57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2026-06-27T00:06:54Z</dcterms:created>
  <dc:creator>openpyxl</dc:creator>
  <dc:description/>
  <dc:language>en-US</dc:language>
  <cp:lastModifiedBy/>
  <dcterms:modified xsi:type="dcterms:W3CDTF">2026-06-27T00:07:06Z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